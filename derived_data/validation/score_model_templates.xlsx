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YoheiHarada/Library/Mobile Documents/com~apple~CloudDocs/CTOS_cloud/Publication/042424/"/>
    </mc:Choice>
  </mc:AlternateContent>
  <xr:revisionPtr revIDLastSave="0" documentId="13_ncr:1_{55CD98D9-5625-AB46-A59C-C68C8EA2CA55}" xr6:coauthVersionLast="47" xr6:coauthVersionMax="47" xr10:uidLastSave="{00000000-0000-0000-0000-000000000000}"/>
  <bookViews>
    <workbookView xWindow="0" yWindow="760" windowWidth="30240" windowHeight="18880" xr2:uid="{8CA63FD3-AF43-814E-ABD0-51F2063EDB63}"/>
  </bookViews>
  <sheets>
    <sheet name="【example】 LDN (BMP inhibiter)" sheetId="8" r:id="rId1"/>
    <sheet name="LDN (BMP inhibiter)" sheetId="5" r:id="rId2"/>
    <sheet name="Cetuximab (EGFR inhibiter) 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7" l="1"/>
  <c r="F11" i="5"/>
  <c r="F11" i="8"/>
  <c r="F10" i="8"/>
  <c r="C17" i="8"/>
  <c r="C16" i="8"/>
  <c r="C15" i="8"/>
  <c r="C14" i="8"/>
  <c r="C13" i="8"/>
  <c r="C12" i="8"/>
  <c r="C11" i="8"/>
  <c r="C10" i="8"/>
  <c r="C9" i="8"/>
  <c r="C30" i="8"/>
  <c r="C28" i="8"/>
  <c r="C27" i="8"/>
  <c r="C26" i="8"/>
  <c r="C25" i="8"/>
  <c r="C24" i="8"/>
  <c r="C23" i="8"/>
  <c r="C22" i="8"/>
  <c r="C21" i="8"/>
  <c r="C20" i="8"/>
  <c r="F13" i="8"/>
  <c r="C30" i="7"/>
  <c r="F9" i="8" l="1"/>
  <c r="C20" i="7"/>
  <c r="F9" i="7"/>
  <c r="F10" i="7" s="1"/>
  <c r="F13" i="7"/>
  <c r="C30" i="5"/>
  <c r="C28" i="5"/>
  <c r="C27" i="5"/>
  <c r="C26" i="5"/>
  <c r="C25" i="5"/>
  <c r="C24" i="5"/>
  <c r="C23" i="5"/>
  <c r="C22" i="5"/>
  <c r="C21" i="5"/>
  <c r="C20" i="5"/>
  <c r="F13" i="5"/>
  <c r="F9" i="5" l="1"/>
  <c r="F10" i="5" l="1"/>
</calcChain>
</file>

<file path=xl/sharedStrings.xml><?xml version="1.0" encoding="utf-8"?>
<sst xmlns="http://schemas.openxmlformats.org/spreadsheetml/2006/main" count="94" uniqueCount="33">
  <si>
    <t>LRIG1</t>
  </si>
  <si>
    <t>TBX3</t>
  </si>
  <si>
    <t>PAQR8</t>
  </si>
  <si>
    <t>SMAD7</t>
  </si>
  <si>
    <t>ID2-AS1</t>
  </si>
  <si>
    <t>ID2</t>
  </si>
  <si>
    <t>KLF4</t>
  </si>
  <si>
    <t>RAB32</t>
  </si>
  <si>
    <t>TRAF5</t>
  </si>
  <si>
    <t>gene</t>
    <phoneticPr fontId="1"/>
  </si>
  <si>
    <t>expression</t>
    <phoneticPr fontId="1"/>
  </si>
  <si>
    <t>coefficient</t>
    <phoneticPr fontId="1"/>
  </si>
  <si>
    <t>intercept</t>
    <phoneticPr fontId="1"/>
  </si>
  <si>
    <t>score</t>
    <phoneticPr fontId="1"/>
  </si>
  <si>
    <t>prediction</t>
    <phoneticPr fontId="1"/>
  </si>
  <si>
    <t>threshold</t>
  </si>
  <si>
    <t>C11orf24</t>
  </si>
  <si>
    <t>DUSP6</t>
  </si>
  <si>
    <t>EGR1</t>
  </si>
  <si>
    <t>FOSL1</t>
  </si>
  <si>
    <t>IER3</t>
  </si>
  <si>
    <t>PLK3</t>
  </si>
  <si>
    <t>SHB</t>
  </si>
  <si>
    <t>TNS4</t>
  </si>
  <si>
    <t>EPHA2</t>
  </si>
  <si>
    <t>y</t>
    <phoneticPr fontId="1"/>
  </si>
  <si>
    <t>2. The variable 'y' is the result of multiplying each gene's expression value by its respective coefficient and then adding the intercept. The 'score' is the probability that Y equals 1, indicating sensitivity , obtained by inputting the result into the sigmoid function.</t>
    <phoneticPr fontId="1"/>
  </si>
  <si>
    <t>1. Please enter the post-treatment expression levels, normalized by dividing the post-treatment values by the pre-treatment values (pre-treatment value is considered as 1), into the area indicated in blue.</t>
    <phoneticPr fontId="1"/>
  </si>
  <si>
    <t>coefficients</t>
    <phoneticPr fontId="1"/>
  </si>
  <si>
    <t>normalized</t>
  </si>
  <si>
    <t>3. The 'prediction' indicates the outcome of sensitivity or insensitivity based on the score. If the score is equal to or greater than the threshold of 0.5, the prediction is 'sensitive'; if it is below 0.5, the prediction is 'non-sensitive''.</t>
    <phoneticPr fontId="1"/>
  </si>
  <si>
    <t>As a demonstration for this excel file, we used the PCR data from one non-sensitive sample obtained 8 hours after drug administration.</t>
    <phoneticPr fontId="1"/>
  </si>
  <si>
    <t>3. The 'prediction' indicates the outcome of sensitivity or insensitivity based on the score. If the score is equal to or greater than the threshold of 0.5, the prediction is 'sensitive'; if it is below 0.5, the prediction is 'non-sensitive'.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</si>
</sst>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  <family val="2"/>
      <charset val="128"/>
    </font>
    <font>
      <sz val="6"/>
      <name val="ArialMT"/>
      <family val="2"/>
      <charset val="128"/>
    </font>
    <font>
      <sz val="12"/>
      <color rgb="FFFF0000"/>
      <name val="ArialMT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/>
      <top style="thin">
        <color theme="1"/>
      </top>
      <bottom style="thin">
        <color theme="2" tint="-9.9978637043366805E-2"/>
      </bottom>
      <diagonal/>
    </border>
    <border>
      <left style="thin">
        <color theme="0" tint="-0.249977111117893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249977111117893"/>
      </left>
      <right/>
      <top style="thin">
        <color theme="2" tint="-9.9978637043366805E-2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3" borderId="3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2CFC-30C1-C64E-9E4D-356E21A87AA6}">
  <dimension ref="A2:F30"/>
  <sheetViews>
    <sheetView tabSelected="1" workbookViewId="0">
      <selection activeCell="I9" sqref="I9"/>
    </sheetView>
  </sheetViews>
  <sheetFormatPr baseColWidth="10" defaultRowHeight="16"/>
  <cols>
    <col min="2" max="2" width="11.85546875" customWidth="1"/>
    <col min="3" max="3" width="12.85546875" customWidth="1"/>
    <col min="4" max="5" width="11.85546875" customWidth="1"/>
  </cols>
  <sheetData>
    <row r="2" spans="1:6">
      <c r="A2" t="s">
        <v>27</v>
      </c>
    </row>
    <row r="3" spans="1:6">
      <c r="A3" t="s">
        <v>26</v>
      </c>
    </row>
    <row r="4" spans="1:6">
      <c r="A4" t="s">
        <v>30</v>
      </c>
    </row>
    <row r="5" spans="1:6">
      <c r="A5" s="14" t="s">
        <v>31</v>
      </c>
    </row>
    <row r="7" spans="1:6" ht="16" customHeight="1">
      <c r="B7" s="1"/>
      <c r="C7" s="2" t="s">
        <v>10</v>
      </c>
      <c r="D7" s="3"/>
    </row>
    <row r="8" spans="1:6" ht="17">
      <c r="B8" s="4" t="s">
        <v>9</v>
      </c>
      <c r="C8" s="7" t="s">
        <v>29</v>
      </c>
      <c r="D8" s="8"/>
      <c r="E8" s="3"/>
    </row>
    <row r="9" spans="1:6">
      <c r="B9" s="3" t="s">
        <v>0</v>
      </c>
      <c r="C9" s="15">
        <f>1.38831345047979</f>
        <v>1.38831345047979</v>
      </c>
      <c r="D9" s="3"/>
      <c r="E9" s="5" t="s">
        <v>25</v>
      </c>
      <c r="F9" s="9">
        <f>C9*C20+C10*C21+C11*C22+C12*C23+C13*C24+C14*C25+C15*C26+C16*C27+C17*C28+C30</f>
        <v>-2.1268560733848494</v>
      </c>
    </row>
    <row r="10" spans="1:6">
      <c r="B10" s="3" t="s">
        <v>1</v>
      </c>
      <c r="C10" s="16">
        <f>1.20580782769075</f>
        <v>1.20580782769075</v>
      </c>
      <c r="D10" s="3"/>
      <c r="E10" s="5" t="s">
        <v>13</v>
      </c>
      <c r="F10" s="9">
        <f>1/(1+EXP(-F9))</f>
        <v>0.10651382493378253</v>
      </c>
    </row>
    <row r="11" spans="1:6" ht="17">
      <c r="B11" s="3" t="s">
        <v>2</v>
      </c>
      <c r="C11" s="16">
        <f>1.10956947206784</f>
        <v>1.10956947206784</v>
      </c>
      <c r="D11" s="3"/>
      <c r="E11" s="6" t="s">
        <v>14</v>
      </c>
      <c r="F11" s="13" t="str">
        <f>IF(F9&gt;=F13, "sensitive", "non-sensitive")</f>
        <v>non-sensitive</v>
      </c>
    </row>
    <row r="12" spans="1:6">
      <c r="B12" s="3" t="s">
        <v>3</v>
      </c>
      <c r="C12" s="16">
        <f>1.10956947206784</f>
        <v>1.10956947206784</v>
      </c>
      <c r="D12" s="3"/>
    </row>
    <row r="13" spans="1:6">
      <c r="B13" s="3" t="s">
        <v>4</v>
      </c>
      <c r="C13" s="16">
        <f>1.05214484820071</f>
        <v>1.0521448482007101</v>
      </c>
      <c r="D13" s="3"/>
      <c r="E13" s="3" t="s">
        <v>15</v>
      </c>
      <c r="F13">
        <f>0.5</f>
        <v>0.5</v>
      </c>
    </row>
    <row r="14" spans="1:6">
      <c r="B14" s="3" t="s">
        <v>5</v>
      </c>
      <c r="C14" s="16">
        <f>0.878633452221213</f>
        <v>0.87863345222121303</v>
      </c>
      <c r="D14" s="3"/>
    </row>
    <row r="15" spans="1:6">
      <c r="B15" s="3" t="s">
        <v>6</v>
      </c>
      <c r="C15" s="16">
        <f>1.72907446261573</f>
        <v>1.7290744626157299</v>
      </c>
      <c r="D15" s="3"/>
    </row>
    <row r="16" spans="1:6">
      <c r="B16" s="3" t="s">
        <v>7</v>
      </c>
      <c r="C16" s="16">
        <f>0.866537045842465</f>
        <v>0.86653704584246505</v>
      </c>
      <c r="D16" s="3"/>
    </row>
    <row r="17" spans="2:4">
      <c r="B17" s="4" t="s">
        <v>8</v>
      </c>
      <c r="C17" s="17">
        <f>1.53332834466959</f>
        <v>1.53332834466959</v>
      </c>
      <c r="D17" s="3"/>
    </row>
    <row r="19" spans="2:4">
      <c r="B19" s="2" t="s">
        <v>9</v>
      </c>
      <c r="C19" s="2" t="s">
        <v>28</v>
      </c>
    </row>
    <row r="20" spans="2:4">
      <c r="B20" s="3" t="s">
        <v>0</v>
      </c>
      <c r="C20">
        <f>2.958884</f>
        <v>2.9588839999999998</v>
      </c>
    </row>
    <row r="21" spans="2:4">
      <c r="B21" s="3" t="s">
        <v>1</v>
      </c>
      <c r="C21">
        <f>-0.865365</f>
        <v>-0.86536500000000005</v>
      </c>
    </row>
    <row r="22" spans="2:4">
      <c r="B22" s="3" t="s">
        <v>2</v>
      </c>
      <c r="C22">
        <f>-0.895799</f>
        <v>-0.89579900000000001</v>
      </c>
    </row>
    <row r="23" spans="2:4">
      <c r="B23" s="3" t="s">
        <v>3</v>
      </c>
      <c r="C23">
        <f>-0.614576</f>
        <v>-0.61457600000000001</v>
      </c>
    </row>
    <row r="24" spans="2:4">
      <c r="B24" s="3" t="s">
        <v>4</v>
      </c>
      <c r="C24">
        <f>-1.568513</f>
        <v>-1.568513</v>
      </c>
    </row>
    <row r="25" spans="2:4">
      <c r="B25" s="3" t="s">
        <v>5</v>
      </c>
      <c r="C25">
        <f>-1.284311</f>
        <v>-1.284311</v>
      </c>
    </row>
    <row r="26" spans="2:4">
      <c r="B26" s="3" t="s">
        <v>6</v>
      </c>
      <c r="C26">
        <f>-0.399099</f>
        <v>-0.39909899999999998</v>
      </c>
    </row>
    <row r="27" spans="2:4">
      <c r="B27" s="3" t="s">
        <v>7</v>
      </c>
      <c r="C27">
        <f>-0.538174</f>
        <v>-0.53817400000000004</v>
      </c>
    </row>
    <row r="28" spans="2:4">
      <c r="B28" s="4" t="s">
        <v>8</v>
      </c>
      <c r="C28" s="1">
        <f>1.079074</f>
        <v>1.0790740000000001</v>
      </c>
    </row>
    <row r="30" spans="2:4">
      <c r="B30" s="3" t="s">
        <v>12</v>
      </c>
      <c r="C30">
        <f xml:space="preserve"> -1.23479832</f>
        <v>-1.2347983199999999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C684-FF84-0E48-A46C-727F1D14262F}">
  <dimension ref="A2:F30"/>
  <sheetViews>
    <sheetView workbookViewId="0">
      <selection activeCell="P9" sqref="P9"/>
    </sheetView>
  </sheetViews>
  <sheetFormatPr baseColWidth="10" defaultRowHeight="16"/>
  <cols>
    <col min="2" max="2" width="11.85546875" customWidth="1"/>
    <col min="3" max="3" width="12.85546875" customWidth="1"/>
    <col min="4" max="5" width="11.85546875" customWidth="1"/>
  </cols>
  <sheetData>
    <row r="2" spans="1:6">
      <c r="A2" t="s">
        <v>27</v>
      </c>
    </row>
    <row r="3" spans="1:6">
      <c r="A3" t="s">
        <v>26</v>
      </c>
    </row>
    <row r="4" spans="1:6">
      <c r="A4" t="s">
        <v>32</v>
      </c>
    </row>
    <row r="7" spans="1:6" ht="16" customHeight="1">
      <c r="B7" s="1"/>
      <c r="C7" s="2" t="s">
        <v>10</v>
      </c>
      <c r="D7" s="3"/>
    </row>
    <row r="8" spans="1:6" ht="17">
      <c r="B8" s="4" t="s">
        <v>9</v>
      </c>
      <c r="C8" s="7" t="s">
        <v>29</v>
      </c>
      <c r="D8" s="8"/>
      <c r="E8" s="3"/>
    </row>
    <row r="9" spans="1:6">
      <c r="B9" s="3" t="s">
        <v>0</v>
      </c>
      <c r="C9" s="10"/>
      <c r="D9" s="3"/>
      <c r="E9" s="5" t="s">
        <v>25</v>
      </c>
      <c r="F9" s="9">
        <f>C9*C20+C10*C21+C11*C22+C12*C23+C13*C24+C14*C25+C15*C26+C16*C27+C17*C28+C30</f>
        <v>-1.2347983199999999</v>
      </c>
    </row>
    <row r="10" spans="1:6">
      <c r="B10" s="3" t="s">
        <v>1</v>
      </c>
      <c r="C10" s="11"/>
      <c r="D10" s="3"/>
      <c r="E10" s="5" t="s">
        <v>13</v>
      </c>
      <c r="F10" s="9">
        <f>1/(1+EXP(-F9))</f>
        <v>0.22534271107609782</v>
      </c>
    </row>
    <row r="11" spans="1:6" ht="17">
      <c r="B11" s="3" t="s">
        <v>2</v>
      </c>
      <c r="C11" s="11"/>
      <c r="D11" s="3"/>
      <c r="E11" s="6" t="s">
        <v>14</v>
      </c>
      <c r="F11" s="13" t="str">
        <f>IF(F9&gt;=F13, "sensitive", "non-sensitive")</f>
        <v>non-sensitive</v>
      </c>
    </row>
    <row r="12" spans="1:6">
      <c r="B12" s="3" t="s">
        <v>3</v>
      </c>
      <c r="C12" s="11"/>
      <c r="D12" s="3"/>
    </row>
    <row r="13" spans="1:6">
      <c r="B13" s="3" t="s">
        <v>4</v>
      </c>
      <c r="C13" s="11"/>
      <c r="D13" s="3"/>
      <c r="E13" s="3" t="s">
        <v>15</v>
      </c>
      <c r="F13">
        <f>0.5</f>
        <v>0.5</v>
      </c>
    </row>
    <row r="14" spans="1:6">
      <c r="B14" s="3" t="s">
        <v>5</v>
      </c>
      <c r="C14" s="11"/>
      <c r="D14" s="3"/>
    </row>
    <row r="15" spans="1:6">
      <c r="B15" s="3" t="s">
        <v>6</v>
      </c>
      <c r="C15" s="11"/>
      <c r="D15" s="3"/>
    </row>
    <row r="16" spans="1:6">
      <c r="B16" s="3" t="s">
        <v>7</v>
      </c>
      <c r="C16" s="11"/>
      <c r="D16" s="3"/>
    </row>
    <row r="17" spans="2:4">
      <c r="B17" s="4" t="s">
        <v>8</v>
      </c>
      <c r="C17" s="12"/>
      <c r="D17" s="3"/>
    </row>
    <row r="19" spans="2:4">
      <c r="B19" s="2" t="s">
        <v>9</v>
      </c>
      <c r="C19" s="2" t="s">
        <v>11</v>
      </c>
    </row>
    <row r="20" spans="2:4">
      <c r="B20" s="3" t="s">
        <v>0</v>
      </c>
      <c r="C20">
        <f>2.958884</f>
        <v>2.9588839999999998</v>
      </c>
    </row>
    <row r="21" spans="2:4">
      <c r="B21" s="3" t="s">
        <v>1</v>
      </c>
      <c r="C21">
        <f>-0.865365</f>
        <v>-0.86536500000000005</v>
      </c>
    </row>
    <row r="22" spans="2:4">
      <c r="B22" s="3" t="s">
        <v>2</v>
      </c>
      <c r="C22">
        <f>-0.895799</f>
        <v>-0.89579900000000001</v>
      </c>
    </row>
    <row r="23" spans="2:4">
      <c r="B23" s="3" t="s">
        <v>3</v>
      </c>
      <c r="C23">
        <f>-0.614576</f>
        <v>-0.61457600000000001</v>
      </c>
    </row>
    <row r="24" spans="2:4">
      <c r="B24" s="3" t="s">
        <v>4</v>
      </c>
      <c r="C24">
        <f>-1.568513</f>
        <v>-1.568513</v>
      </c>
    </row>
    <row r="25" spans="2:4">
      <c r="B25" s="3" t="s">
        <v>5</v>
      </c>
      <c r="C25">
        <f>-1.284311</f>
        <v>-1.284311</v>
      </c>
    </row>
    <row r="26" spans="2:4">
      <c r="B26" s="3" t="s">
        <v>6</v>
      </c>
      <c r="C26">
        <f>-0.399099</f>
        <v>-0.39909899999999998</v>
      </c>
    </row>
    <row r="27" spans="2:4">
      <c r="B27" s="3" t="s">
        <v>7</v>
      </c>
      <c r="C27">
        <f>-0.538174</f>
        <v>-0.53817400000000004</v>
      </c>
    </row>
    <row r="28" spans="2:4">
      <c r="B28" s="4" t="s">
        <v>8</v>
      </c>
      <c r="C28" s="1">
        <f>1.079074</f>
        <v>1.0790740000000001</v>
      </c>
    </row>
    <row r="30" spans="2:4">
      <c r="B30" s="3" t="s">
        <v>12</v>
      </c>
      <c r="C30">
        <f xml:space="preserve"> -1.23479832</f>
        <v>-1.2347983199999999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F3AD-8F70-1F47-9D12-03BC49CBD0C8}">
  <dimension ref="A2:F30"/>
  <sheetViews>
    <sheetView workbookViewId="0">
      <selection activeCell="Q10" sqref="Q10"/>
    </sheetView>
  </sheetViews>
  <sheetFormatPr baseColWidth="10" defaultRowHeight="16"/>
  <cols>
    <col min="2" max="2" width="11.85546875" customWidth="1"/>
    <col min="3" max="3" width="12.85546875" customWidth="1"/>
    <col min="4" max="5" width="11.85546875" customWidth="1"/>
  </cols>
  <sheetData>
    <row r="2" spans="1:6">
      <c r="A2" t="s">
        <v>27</v>
      </c>
    </row>
    <row r="3" spans="1:6">
      <c r="A3" t="s">
        <v>26</v>
      </c>
    </row>
    <row r="4" spans="1:6">
      <c r="A4" t="s">
        <v>32</v>
      </c>
    </row>
    <row r="7" spans="1:6" ht="16" customHeight="1">
      <c r="B7" s="1"/>
      <c r="C7" s="2" t="s">
        <v>10</v>
      </c>
      <c r="D7" s="3"/>
    </row>
    <row r="8" spans="1:6" ht="17">
      <c r="B8" s="4" t="s">
        <v>9</v>
      </c>
      <c r="C8" s="7" t="s">
        <v>29</v>
      </c>
      <c r="D8" s="8"/>
      <c r="E8" s="3"/>
    </row>
    <row r="9" spans="1:6">
      <c r="B9" s="3" t="s">
        <v>16</v>
      </c>
      <c r="C9" s="10"/>
      <c r="D9" s="3"/>
      <c r="E9" s="5" t="s">
        <v>25</v>
      </c>
      <c r="F9" s="9">
        <f>C9*C20+C10*C21+C11*C22+C12*C23+C13*C24+C14*C25+C15*C26+C16*C27+C17*C28+C30</f>
        <v>3.4171031200000002</v>
      </c>
    </row>
    <row r="10" spans="1:6">
      <c r="B10" s="3" t="s">
        <v>17</v>
      </c>
      <c r="C10" s="11"/>
      <c r="D10" s="3"/>
      <c r="E10" s="5" t="s">
        <v>13</v>
      </c>
      <c r="F10" s="9">
        <f>1/(1+EXP(-F9))</f>
        <v>0.96823479542009883</v>
      </c>
    </row>
    <row r="11" spans="1:6" ht="17">
      <c r="B11" s="3" t="s">
        <v>18</v>
      </c>
      <c r="C11" s="11"/>
      <c r="D11" s="3"/>
      <c r="E11" s="6" t="s">
        <v>14</v>
      </c>
      <c r="F11" s="13" t="str">
        <f>IF(F9&gt;=F13, "sensitive", "non-sensitive")</f>
        <v>sensitive</v>
      </c>
    </row>
    <row r="12" spans="1:6">
      <c r="B12" s="3" t="s">
        <v>19</v>
      </c>
      <c r="C12" s="11"/>
      <c r="D12" s="3"/>
    </row>
    <row r="13" spans="1:6">
      <c r="B13" s="3" t="s">
        <v>20</v>
      </c>
      <c r="C13" s="11"/>
      <c r="D13" s="3"/>
      <c r="E13" s="3" t="s">
        <v>15</v>
      </c>
      <c r="F13">
        <f>0.5</f>
        <v>0.5</v>
      </c>
    </row>
    <row r="14" spans="1:6">
      <c r="B14" s="3" t="s">
        <v>21</v>
      </c>
      <c r="C14" s="11"/>
      <c r="D14" s="3"/>
    </row>
    <row r="15" spans="1:6">
      <c r="B15" s="3" t="s">
        <v>22</v>
      </c>
      <c r="C15" s="11"/>
      <c r="D15" s="3"/>
    </row>
    <row r="16" spans="1:6">
      <c r="B16" s="3" t="s">
        <v>23</v>
      </c>
      <c r="C16" s="11"/>
      <c r="D16" s="3"/>
    </row>
    <row r="17" spans="2:4">
      <c r="B17" s="4" t="s">
        <v>24</v>
      </c>
      <c r="C17" s="12"/>
      <c r="D17" s="3"/>
    </row>
    <row r="19" spans="2:4">
      <c r="B19" s="2" t="s">
        <v>9</v>
      </c>
      <c r="C19" s="2" t="s">
        <v>11</v>
      </c>
    </row>
    <row r="20" spans="2:4">
      <c r="B20" s="3" t="s">
        <v>16</v>
      </c>
      <c r="C20">
        <f>-0.083956</f>
        <v>-8.3956000000000003E-2</v>
      </c>
    </row>
    <row r="21" spans="2:4">
      <c r="B21" s="3" t="s">
        <v>17</v>
      </c>
      <c r="C21">
        <v>-0.89195999999999998</v>
      </c>
    </row>
    <row r="22" spans="2:4">
      <c r="B22" s="3" t="s">
        <v>18</v>
      </c>
      <c r="C22">
        <v>-1.0944149999999999</v>
      </c>
    </row>
    <row r="23" spans="2:4">
      <c r="B23" s="3" t="s">
        <v>19</v>
      </c>
      <c r="C23">
        <v>-0.91447299999999998</v>
      </c>
    </row>
    <row r="24" spans="2:4">
      <c r="B24" s="3" t="s">
        <v>20</v>
      </c>
      <c r="C24">
        <v>-0.43460700000000002</v>
      </c>
    </row>
    <row r="25" spans="2:4">
      <c r="B25" s="3" t="s">
        <v>21</v>
      </c>
      <c r="C25">
        <v>0.426176</v>
      </c>
    </row>
    <row r="26" spans="2:4">
      <c r="B26" s="3" t="s">
        <v>22</v>
      </c>
      <c r="C26">
        <v>-1.082247</v>
      </c>
    </row>
    <row r="27" spans="2:4">
      <c r="B27" s="3" t="s">
        <v>23</v>
      </c>
      <c r="C27">
        <v>4.6401999999999999E-2</v>
      </c>
    </row>
    <row r="28" spans="2:4">
      <c r="B28" s="4" t="s">
        <v>24</v>
      </c>
      <c r="C28" s="1">
        <v>-0.66851400000000005</v>
      </c>
    </row>
    <row r="30" spans="2:4">
      <c r="B30" s="3" t="s">
        <v>12</v>
      </c>
      <c r="C30">
        <f>3.41710312</f>
        <v>3.4171031200000002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【example】 LDN (BMP inhibiter)</vt:lpstr>
      <vt:lpstr>LDN (BMP inhibiter)</vt:lpstr>
      <vt:lpstr>Cetuximab (EGFR inhibiter)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 kasumi</dc:creator>
  <cp:lastModifiedBy>Yohei Harada</cp:lastModifiedBy>
  <dcterms:created xsi:type="dcterms:W3CDTF">2024-03-15T06:11:21Z</dcterms:created>
  <dcterms:modified xsi:type="dcterms:W3CDTF">2024-04-25T05:32:56Z</dcterms:modified>
</cp:coreProperties>
</file>